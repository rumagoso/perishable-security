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Trust Register" sheetId="2" state="visible" r:id="rId4"/>
    <sheet name="Settings" sheetId="3" state="visible" r:id="rId5"/>
  </sheets>
  <definedNames>
    <definedName function="false" hidden="true" localSheetId="1" name="_xlnm._FilterDatabase" vbProcedure="false">'Trust Register'!$A$1:$X$34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Pessimistic end of your range. Used in the margin.</t>
        </r>
      </text>
    </comment>
    <comment ref="L1" authorId="0">
      <text>
        <r>
          <rPr>
            <sz val="10"/>
            <rFont val="Arial"/>
            <family val="2"/>
          </rPr>
          <t xml:space="preserve">Honest time to move off this component, set by the slowest dependency.</t>
        </r>
      </text>
    </comment>
    <comment ref="N1" authorId="0">
      <text>
        <r>
          <rPr>
            <sz val="10"/>
            <rFont val="Arial"/>
            <family val="2"/>
          </rPr>
          <t xml:space="preserve">How long the protected thing must stay safe from today. 0 for live authentication; years for confidential data that could be harvested now and decrypted later (Mosca).</t>
        </r>
      </text>
    </comment>
    <comment ref="P1" authorId="0">
      <text>
        <r>
          <rPr>
            <sz val="10"/>
            <rFont val="Arial"/>
            <family val="2"/>
          </rPr>
          <t xml:space="preserve">Half-life LOW − Required time. Negative = already exposed.</t>
        </r>
      </text>
    </comment>
    <comment ref="U1" authorId="0">
      <text>
        <r>
          <rPr>
            <sz val="10"/>
            <rFont val="Arial"/>
            <family val="2"/>
          </rPr>
          <t xml:space="preserve">'Dark figure': likelihood it is already broken privately, unannounced.</t>
        </r>
      </text>
    </comment>
  </commentList>
</comments>
</file>

<file path=xl/sharedStrings.xml><?xml version="1.0" encoding="utf-8"?>
<sst xmlns="http://schemas.openxmlformats.org/spreadsheetml/2006/main" count="128" uniqueCount="104">
  <si>
    <t xml:space="preserve">Trust Register — Trust Half-Life Template</t>
  </si>
  <si>
    <t xml:space="preserve">Perishable Security · v0.1 · Rui Soares</t>
  </si>
  <si>
    <t xml:space="preserve">WHAT THIS IS</t>
  </si>
  <si>
    <t xml:space="preserve">A register of components whose security is, at heart, a cost argument — and an estimate of how long that argument holds.</t>
  </si>
  <si>
    <t xml:space="preserve">Trust half-life = estimated time until a component's break-cost falls below what an attacker would gain by breaking it.</t>
  </si>
  <si>
    <t xml:space="preserve">The question is not 'is it secure?' but 'how long until it isn't?'</t>
  </si>
  <si>
    <t xml:space="preserve">THE RULE</t>
  </si>
  <si>
    <t xml:space="preserve">Act when the trust half-life drops below the time you need: migration time + protection horizon.</t>
  </si>
  <si>
    <t xml:space="preserve">Margin = Half-life LOW − (Migration time + Protection horizon). Pessimistic on purpose: it uses the low end of your range.</t>
  </si>
  <si>
    <t xml:space="preserve">Margin &lt; 0 → EXPOSED (act now).  0 ≤ Margin &lt; amber threshold (Settings) → AMBER (plan migration).  Otherwise → GREEN.</t>
  </si>
  <si>
    <t xml:space="preserve">Protection horizon generalises Mosca's inequality: how long the protected thing must stay safe from today. 0 for live authentication; years for confidential data that could be harvested now and decrypted later.</t>
  </si>
  <si>
    <t xml:space="preserve">HOW TO USE</t>
  </si>
  <si>
    <t xml:space="preserve">1. List components whose security rests on cost: encryption, authentication schemes, hardware roots of trust, obscurity/obfuscation, client-side logic, proprietary protocols.</t>
  </si>
  <si>
    <t xml:space="preserve">2. For each: owner, what it protects, and the cost assumption it rests on.</t>
  </si>
  <si>
    <t xml:space="preserve">3. Estimate the half-life as a RANGE (low–high years) with a confidence level. Direction and rate matter more than decimals.</t>
  </si>
  <si>
    <t xml:space="preserve">4. Estimate migration time honestly — set by the SLOWEST dependency (oldest system, longest contract, slowest supplier, recovery paths).</t>
  </si>
  <si>
    <t xml:space="preserve">5. Set the protection horizon (0 if the asset only needs to be safe in real time).</t>
  </si>
  <si>
    <t xml:space="preserve">6. Record the listening post (where a 'cliff' would be heard), whether a pre-written plan exists, and how likely a private, unannounced break is.</t>
  </si>
  <si>
    <t xml:space="preserve">7. Review on cadence (Settings). The next review date is computed. One owner. One estimate. One date.</t>
  </si>
  <si>
    <t xml:space="preserve">LEGEND</t>
  </si>
  <si>
    <t xml:space="preserve">Yellow cells (blue text) = inputs you fill in.   Grey cells = formulas, do not edit.   Rows EX-001 to EX-003 are illustrative examples — replace or delete them.</t>
  </si>
  <si>
    <t xml:space="preserve">DECAY VOCABULARY</t>
  </si>
  <si>
    <t xml:space="preserve">Decay forces: cheaper compute · better models · published techniques · discovered flaws.</t>
  </si>
  <si>
    <t xml:space="preserve">Shape: SLIDE (gradual, trend-watchable) · CLIFF (sudden — needs a listening post and a pre-written plan) · BOTH.</t>
  </si>
  <si>
    <t xml:space="preserve">Payoff trend: a component can lose security without getting weaker, if what it protects becomes more valuable.</t>
  </si>
  <si>
    <t xml:space="preserve">Private-break likelihood: the 'dark figure' — your estimate that it is already broken but unannounced.</t>
  </si>
  <si>
    <t xml:space="preserve">CAVEATS</t>
  </si>
  <si>
    <t xml:space="preserve">All example values are ILLUSTRATIVE, not real estimates for any organisation. 'Half-life' is used for intuition, not as a claim of exponential decay.</t>
  </si>
  <si>
    <t xml:space="preserve">Credits: Auguste Kerckhoffs (1883); Michele Mosca (quantum-risk inequality); cryptoperiod practice in key management.</t>
  </si>
  <si>
    <t xml:space="preserve">ID</t>
  </si>
  <si>
    <t xml:space="preserve">Component</t>
  </si>
  <si>
    <t xml:space="preserve">What it protects</t>
  </si>
  <si>
    <t xml:space="preserve">Owner</t>
  </si>
  <si>
    <t xml:space="preserve">Security rests on (cost assumption)</t>
  </si>
  <si>
    <t xml:space="preserve">Dominant decay force</t>
  </si>
  <si>
    <t xml:space="preserve">Shape</t>
  </si>
  <si>
    <t xml:space="preserve">Payoff trend</t>
  </si>
  <si>
    <t xml:space="preserve">Half-life LOW (yrs)</t>
  </si>
  <si>
    <t xml:space="preserve">Half-life HIGH (yrs)</t>
  </si>
  <si>
    <t xml:space="preserve">Confidence</t>
  </si>
  <si>
    <t xml:space="preserve">Migration time (yrs)</t>
  </si>
  <si>
    <t xml:space="preserve">Slowest dependency</t>
  </si>
  <si>
    <t xml:space="preserve">Protection horizon (yrs)</t>
  </si>
  <si>
    <t xml:space="preserve">Required time (yrs)</t>
  </si>
  <si>
    <t xml:space="preserve">Margin (yrs)</t>
  </si>
  <si>
    <t xml:space="preserve">Status</t>
  </si>
  <si>
    <t xml:space="preserve">Listening post / feed</t>
  </si>
  <si>
    <t xml:space="preserve">Pre-written plan?</t>
  </si>
  <si>
    <t xml:space="preserve">Plan ref</t>
  </si>
  <si>
    <t xml:space="preserve">Private-break likelihood</t>
  </si>
  <si>
    <t xml:space="preserve">Last review</t>
  </si>
  <si>
    <t xml:space="preserve">Next review</t>
  </si>
  <si>
    <t xml:space="preserve">Notes / sources</t>
  </si>
  <si>
    <t xml:space="preserve">EX-001</t>
  </si>
  <si>
    <t xml:space="preserve">SMS one-time passcodes (customer &amp; staff login)</t>
  </si>
  <si>
    <t xml:space="preserve">Account access</t>
  </si>
  <si>
    <t xml:space="preserve">IAM lead</t>
  </si>
  <si>
    <t xml:space="preserve">Cost of redirecting or intercepting SMS (SIM swap, SS7) and of relaying codes in real time</t>
  </si>
  <si>
    <t xml:space="preserve">Published techniques</t>
  </si>
  <si>
    <t xml:space="preserve">Slide</t>
  </si>
  <si>
    <t xml:space="preserve">Rising</t>
  </si>
  <si>
    <t xml:space="preserve">Medium</t>
  </si>
  <si>
    <t xml:space="preserve">Helpdesk recovery flow; users without smartphones</t>
  </si>
  <si>
    <t xml:space="preserve">National CSIRT advisories; carrier fraud notices</t>
  </si>
  <si>
    <t xml:space="preserve">No</t>
  </si>
  <si>
    <t xml:space="preserve">ILLUSTRATIVE. Target: passkeys with no SMS fallback — migration counts recovery paths, not just login.</t>
  </si>
  <si>
    <t xml:space="preserve">EX-002</t>
  </si>
  <si>
    <t xml:space="preserve">RSA-2048 / ECDH key exchange on VPN &amp; TLS</t>
  </si>
  <si>
    <t xml:space="preserve">Client data in transit</t>
  </si>
  <si>
    <t xml:space="preserve">Infra lead</t>
  </si>
  <si>
    <t xml:space="preserve">Cost of factoring / discrete log at current key sizes</t>
  </si>
  <si>
    <t xml:space="preserve">Mixed</t>
  </si>
  <si>
    <t xml:space="preserve">Both</t>
  </si>
  <si>
    <t xml:space="preserve">Low</t>
  </si>
  <si>
    <t xml:space="preserve">Network appliances and vendor firmware supporting post-quantum / hybrid modes</t>
  </si>
  <si>
    <t xml:space="preserve">PQC standards and vendor roadmap announcements; CSIRT feeds</t>
  </si>
  <si>
    <t xml:space="preserve">ILLUSTRATIVE. Mosca case: data harvested today must stay secret 7 yrs, so required time = migration + horizon.</t>
  </si>
  <si>
    <t xml:space="preserve">EX-003</t>
  </si>
  <si>
    <t xml:space="preserve">FIDO2 hardware security keys for admin accounts</t>
  </si>
  <si>
    <t xml:space="preserve">Privileged access</t>
  </si>
  <si>
    <t xml:space="preserve">ISMS manager</t>
  </si>
  <si>
    <t xml:space="preserve">Non-exportable keys in a secure element + origin-bound credentials</t>
  </si>
  <si>
    <t xml:space="preserve">Discovered flaws</t>
  </si>
  <si>
    <t xml:space="preserve">Cliff</t>
  </si>
  <si>
    <t xml:space="preserve">Key recall and re-issuance logistics</t>
  </si>
  <si>
    <t xml:space="preserve">FIDO Alliance and vendor security advisories; CSIRT feeds</t>
  </si>
  <si>
    <t xml:space="preserve">Yes</t>
  </si>
  <si>
    <t xml:space="preserve">PLAN-EX-003 key recall &amp; re-issue</t>
  </si>
  <si>
    <t xml:space="preserve">ILLUSTRATIVE. Watch break-glass / recovery accounts — they are the real front door.</t>
  </si>
  <si>
    <t xml:space="preserve">Setting</t>
  </si>
  <si>
    <t xml:space="preserve">Value</t>
  </si>
  <si>
    <t xml:space="preserve">Meaning</t>
  </si>
  <si>
    <t xml:space="preserve">Decay force</t>
  </si>
  <si>
    <t xml:space="preserve">Yes/No</t>
  </si>
  <si>
    <t xml:space="preserve">Likelihood</t>
  </si>
  <si>
    <t xml:space="preserve">Amber threshold (years)</t>
  </si>
  <si>
    <t xml:space="preserve">If the margin is ≥ 0 but below this, status is AMBER (start planning migration).</t>
  </si>
  <si>
    <t xml:space="preserve">Cheaper compute</t>
  </si>
  <si>
    <t xml:space="preserve">Review cadence (months)</t>
  </si>
  <si>
    <t xml:space="preserve">Next review = last review + this many months.</t>
  </si>
  <si>
    <t xml:space="preserve">Better models</t>
  </si>
  <si>
    <t xml:space="preserve">Stable</t>
  </si>
  <si>
    <t xml:space="preserve">Falling</t>
  </si>
  <si>
    <t xml:space="preserve">High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</si>
</sst>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b val="1"/>
        <color rgb="FF7F6000"/>
      </font>
      <fill>
        <patternFill>
          <bgColor rgb="FFFFE699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23.8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19</v>
      </c>
    </row>
    <row r="25" customFormat="false" ht="23.8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4" t="s">
        <v>26</v>
      </c>
    </row>
    <row r="34" customFormat="false" ht="23.8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12" min="8" style="0" width="11"/>
    <col collapsed="false" customWidth="true" hidden="false" outlineLevel="0" max="13" min="13" style="0" width="28"/>
    <col collapsed="false" customWidth="true" hidden="false" outlineLevel="0" max="15" min="14" style="0" width="11"/>
    <col collapsed="false" customWidth="true" hidden="false" outlineLevel="0" max="16" min="16" style="0" width="10"/>
    <col collapsed="false" customWidth="true" hidden="false" outlineLevel="0" max="17" min="17" style="0" width="24"/>
    <col collapsed="false" customWidth="true" hidden="false" outlineLevel="0" max="18" min="18" style="0" width="30"/>
    <col collapsed="false" customWidth="true" hidden="false" outlineLevel="0" max="19" min="19" style="0" width="10"/>
    <col collapsed="false" customWidth="true" hidden="false" outlineLevel="0" max="20" min="20" style="0" width="18"/>
    <col collapsed="false" customWidth="true" hidden="false" outlineLevel="0" max="23" min="21" style="0" width="12"/>
    <col collapsed="false" customWidth="true" hidden="false" outlineLevel="0" max="24" min="24" style="0" width="46"/>
  </cols>
  <sheetData>
    <row r="1" customFormat="false" ht="45" hidden="false" customHeight="tru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  <c r="V1" s="5" t="s">
        <v>50</v>
      </c>
      <c r="W1" s="5" t="s">
        <v>51</v>
      </c>
      <c r="X1" s="5" t="s">
        <v>52</v>
      </c>
    </row>
    <row r="2" customFormat="false" ht="39.55" hidden="false" customHeight="false" outlineLevel="0" collapsed="false">
      <c r="A2" s="6" t="s">
        <v>53</v>
      </c>
      <c r="B2" s="6" t="s">
        <v>54</v>
      </c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7" t="n">
        <v>0</v>
      </c>
      <c r="J2" s="7" t="n">
        <v>1</v>
      </c>
      <c r="K2" s="6" t="s">
        <v>61</v>
      </c>
      <c r="L2" s="7" t="n">
        <v>2</v>
      </c>
      <c r="M2" s="6" t="s">
        <v>62</v>
      </c>
      <c r="N2" s="7" t="n">
        <v>0</v>
      </c>
      <c r="O2" s="8" t="n">
        <f aca="false">IF(AND(L2="",N2=""),"",N(L2)+N(N2))</f>
        <v>2</v>
      </c>
      <c r="P2" s="8" t="n">
        <f aca="false">IF(OR(I2="",O2=""),"",I2-O2)</f>
        <v>-2</v>
      </c>
      <c r="Q2" s="9" t="str">
        <f aca="false">IF(P2="","",IF(P2&lt;0,"EXPOSED — act now",IF(P2&lt;Settings!$B$2,"AMBER — plan migration","GREEN")))</f>
        <v>EXPOSED — act now</v>
      </c>
      <c r="R2" s="6" t="s">
        <v>63</v>
      </c>
      <c r="S2" s="6" t="s">
        <v>64</v>
      </c>
      <c r="T2" s="6"/>
      <c r="U2" s="6" t="s">
        <v>61</v>
      </c>
      <c r="V2" s="10" t="n">
        <v>46305</v>
      </c>
      <c r="W2" s="11" t="n">
        <f aca="false">IF(V2="","",EDATE(V2,Settings!$B$3))</f>
        <v>46487</v>
      </c>
      <c r="X2" s="6" t="s">
        <v>65</v>
      </c>
    </row>
    <row r="3" customFormat="false" ht="39.55" hidden="false" customHeight="false" outlineLevel="0" collapsed="false">
      <c r="A3" s="6" t="s">
        <v>66</v>
      </c>
      <c r="B3" s="6" t="s">
        <v>67</v>
      </c>
      <c r="C3" s="6" t="s">
        <v>68</v>
      </c>
      <c r="D3" s="6" t="s">
        <v>69</v>
      </c>
      <c r="E3" s="6" t="s">
        <v>70</v>
      </c>
      <c r="F3" s="6" t="s">
        <v>71</v>
      </c>
      <c r="G3" s="6" t="s">
        <v>72</v>
      </c>
      <c r="H3" s="6" t="s">
        <v>60</v>
      </c>
      <c r="I3" s="7" t="n">
        <v>8</v>
      </c>
      <c r="J3" s="7" t="n">
        <v>15</v>
      </c>
      <c r="K3" s="6" t="s">
        <v>73</v>
      </c>
      <c r="L3" s="7" t="n">
        <v>5</v>
      </c>
      <c r="M3" s="6" t="s">
        <v>74</v>
      </c>
      <c r="N3" s="7" t="n">
        <v>7</v>
      </c>
      <c r="O3" s="8" t="n">
        <f aca="false">IF(AND(L3="",N3=""),"",N(L3)+N(N3))</f>
        <v>12</v>
      </c>
      <c r="P3" s="8" t="n">
        <f aca="false">IF(OR(I3="",O3=""),"",I3-O3)</f>
        <v>-4</v>
      </c>
      <c r="Q3" s="9" t="str">
        <f aca="false">IF(P3="","",IF(P3&lt;0,"EXPOSED — act now",IF(P3&lt;Settings!$B$2,"AMBER — plan migration","GREEN")))</f>
        <v>EXPOSED — act now</v>
      </c>
      <c r="R3" s="6" t="s">
        <v>75</v>
      </c>
      <c r="S3" s="6" t="s">
        <v>64</v>
      </c>
      <c r="T3" s="6"/>
      <c r="U3" s="6" t="s">
        <v>61</v>
      </c>
      <c r="V3" s="10" t="n">
        <v>46305</v>
      </c>
      <c r="W3" s="11" t="n">
        <f aca="false">IF(V3="","",EDATE(V3,Settings!$B$3))</f>
        <v>46487</v>
      </c>
      <c r="X3" s="6" t="s">
        <v>76</v>
      </c>
    </row>
    <row r="4" customFormat="false" ht="39.55" hidden="false" customHeight="false" outlineLevel="0" collapsed="false">
      <c r="A4" s="6" t="s">
        <v>77</v>
      </c>
      <c r="B4" s="6" t="s">
        <v>78</v>
      </c>
      <c r="C4" s="6" t="s">
        <v>79</v>
      </c>
      <c r="D4" s="6" t="s">
        <v>80</v>
      </c>
      <c r="E4" s="6" t="s">
        <v>81</v>
      </c>
      <c r="F4" s="6" t="s">
        <v>82</v>
      </c>
      <c r="G4" s="6" t="s">
        <v>83</v>
      </c>
      <c r="H4" s="6" t="s">
        <v>60</v>
      </c>
      <c r="I4" s="7" t="n">
        <v>10</v>
      </c>
      <c r="J4" s="7" t="n">
        <v>20</v>
      </c>
      <c r="K4" s="6" t="s">
        <v>61</v>
      </c>
      <c r="L4" s="7" t="n">
        <v>1</v>
      </c>
      <c r="M4" s="6" t="s">
        <v>84</v>
      </c>
      <c r="N4" s="7" t="n">
        <v>0</v>
      </c>
      <c r="O4" s="8" t="n">
        <f aca="false">IF(AND(L4="",N4=""),"",N(L4)+N(N4))</f>
        <v>1</v>
      </c>
      <c r="P4" s="8" t="n">
        <f aca="false">IF(OR(I4="",O4=""),"",I4-O4)</f>
        <v>9</v>
      </c>
      <c r="Q4" s="9" t="str">
        <f aca="false">IF(P4="","",IF(P4&lt;0,"EXPOSED — act now",IF(P4&lt;Settings!$B$2,"AMBER — plan migration","GREEN")))</f>
        <v>GREEN</v>
      </c>
      <c r="R4" s="6" t="s">
        <v>85</v>
      </c>
      <c r="S4" s="6" t="s">
        <v>86</v>
      </c>
      <c r="T4" s="6" t="s">
        <v>87</v>
      </c>
      <c r="U4" s="6" t="s">
        <v>73</v>
      </c>
      <c r="V4" s="10" t="n">
        <v>46305</v>
      </c>
      <c r="W4" s="11" t="n">
        <f aca="false">IF(V4="","",EDATE(V4,Settings!$B$3))</f>
        <v>46487</v>
      </c>
      <c r="X4" s="6" t="s">
        <v>88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7"/>
      <c r="J5" s="7"/>
      <c r="K5" s="6"/>
      <c r="L5" s="7"/>
      <c r="M5" s="6"/>
      <c r="N5" s="7"/>
      <c r="O5" s="8" t="str">
        <f aca="false">IF(AND(L5="",N5=""),"",N(L5)+N(N5))</f>
        <v/>
      </c>
      <c r="P5" s="8" t="str">
        <f aca="false">IF(OR(I5="",O5=""),"",I5-O5)</f>
        <v/>
      </c>
      <c r="Q5" s="9" t="str">
        <f aca="false">IF(P5="","",IF(P5&lt;0,"EXPOSED — act now",IF(P5&lt;Settings!$B$2,"AMBER — plan migration","GREEN")))</f>
        <v/>
      </c>
      <c r="R5" s="6"/>
      <c r="S5" s="6"/>
      <c r="T5" s="6"/>
      <c r="U5" s="6"/>
      <c r="V5" s="10"/>
      <c r="W5" s="11" t="str">
        <f aca="false">IF(V5="","",EDATE(V5,Settings!$B$3))</f>
        <v/>
      </c>
      <c r="X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7"/>
      <c r="J6" s="7"/>
      <c r="K6" s="6"/>
      <c r="L6" s="7"/>
      <c r="M6" s="6"/>
      <c r="N6" s="7"/>
      <c r="O6" s="8" t="str">
        <f aca="false">IF(AND(L6="",N6=""),"",N(L6)+N(N6))</f>
        <v/>
      </c>
      <c r="P6" s="8" t="str">
        <f aca="false">IF(OR(I6="",O6=""),"",I6-O6)</f>
        <v/>
      </c>
      <c r="Q6" s="9" t="str">
        <f aca="false">IF(P6="","",IF(P6&lt;0,"EXPOSED — act now",IF(P6&lt;Settings!$B$2,"AMBER — plan migration","GREEN")))</f>
        <v/>
      </c>
      <c r="R6" s="6"/>
      <c r="S6" s="6"/>
      <c r="T6" s="6"/>
      <c r="U6" s="6"/>
      <c r="V6" s="10"/>
      <c r="W6" s="11" t="str">
        <f aca="false">IF(V6="","",EDATE(V6,Settings!$B$3))</f>
        <v/>
      </c>
      <c r="X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7"/>
      <c r="J7" s="7"/>
      <c r="K7" s="6"/>
      <c r="L7" s="7"/>
      <c r="M7" s="6"/>
      <c r="N7" s="7"/>
      <c r="O7" s="8" t="str">
        <f aca="false">IF(AND(L7="",N7=""),"",N(L7)+N(N7))</f>
        <v/>
      </c>
      <c r="P7" s="8" t="str">
        <f aca="false">IF(OR(I7="",O7=""),"",I7-O7)</f>
        <v/>
      </c>
      <c r="Q7" s="9" t="str">
        <f aca="false">IF(P7="","",IF(P7&lt;0,"EXPOSED — act now",IF(P7&lt;Settings!$B$2,"AMBER — plan migration","GREEN")))</f>
        <v/>
      </c>
      <c r="R7" s="6"/>
      <c r="S7" s="6"/>
      <c r="T7" s="6"/>
      <c r="U7" s="6"/>
      <c r="V7" s="10"/>
      <c r="W7" s="11" t="str">
        <f aca="false">IF(V7="","",EDATE(V7,Settings!$B$3))</f>
        <v/>
      </c>
      <c r="X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7"/>
      <c r="J8" s="7"/>
      <c r="K8" s="6"/>
      <c r="L8" s="7"/>
      <c r="M8" s="6"/>
      <c r="N8" s="7"/>
      <c r="O8" s="8" t="str">
        <f aca="false">IF(AND(L8="",N8=""),"",N(L8)+N(N8))</f>
        <v/>
      </c>
      <c r="P8" s="8" t="str">
        <f aca="false">IF(OR(I8="",O8=""),"",I8-O8)</f>
        <v/>
      </c>
      <c r="Q8" s="9" t="str">
        <f aca="false">IF(P8="","",IF(P8&lt;0,"EXPOSED — act now",IF(P8&lt;Settings!$B$2,"AMBER — plan migration","GREEN")))</f>
        <v/>
      </c>
      <c r="R8" s="6"/>
      <c r="S8" s="6"/>
      <c r="T8" s="6"/>
      <c r="U8" s="6"/>
      <c r="V8" s="10"/>
      <c r="W8" s="11" t="str">
        <f aca="false">IF(V8="","",EDATE(V8,Settings!$B$3))</f>
        <v/>
      </c>
      <c r="X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7"/>
      <c r="J9" s="7"/>
      <c r="K9" s="6"/>
      <c r="L9" s="7"/>
      <c r="M9" s="6"/>
      <c r="N9" s="7"/>
      <c r="O9" s="8" t="str">
        <f aca="false">IF(AND(L9="",N9=""),"",N(L9)+N(N9))</f>
        <v/>
      </c>
      <c r="P9" s="8" t="str">
        <f aca="false">IF(OR(I9="",O9=""),"",I9-O9)</f>
        <v/>
      </c>
      <c r="Q9" s="9" t="str">
        <f aca="false">IF(P9="","",IF(P9&lt;0,"EXPOSED — act now",IF(P9&lt;Settings!$B$2,"AMBER — plan migration","GREEN")))</f>
        <v/>
      </c>
      <c r="R9" s="6"/>
      <c r="S9" s="6"/>
      <c r="T9" s="6"/>
      <c r="U9" s="6"/>
      <c r="V9" s="10"/>
      <c r="W9" s="11" t="str">
        <f aca="false">IF(V9="","",EDATE(V9,Settings!$B$3))</f>
        <v/>
      </c>
      <c r="X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7"/>
      <c r="J10" s="7"/>
      <c r="K10" s="6"/>
      <c r="L10" s="7"/>
      <c r="M10" s="6"/>
      <c r="N10" s="7"/>
      <c r="O10" s="8" t="str">
        <f aca="false">IF(AND(L10="",N10=""),"",N(L10)+N(N10))</f>
        <v/>
      </c>
      <c r="P10" s="8" t="str">
        <f aca="false">IF(OR(I10="",O10=""),"",I10-O10)</f>
        <v/>
      </c>
      <c r="Q10" s="9" t="str">
        <f aca="false">IF(P10="","",IF(P10&lt;0,"EXPOSED — act now",IF(P10&lt;Settings!$B$2,"AMBER — plan migration","GREEN")))</f>
        <v/>
      </c>
      <c r="R10" s="6"/>
      <c r="S10" s="6"/>
      <c r="T10" s="6"/>
      <c r="U10" s="6"/>
      <c r="V10" s="10"/>
      <c r="W10" s="11" t="str">
        <f aca="false">IF(V10="","",EDATE(V10,Settings!$B$3))</f>
        <v/>
      </c>
      <c r="X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7"/>
      <c r="J11" s="7"/>
      <c r="K11" s="6"/>
      <c r="L11" s="7"/>
      <c r="M11" s="6"/>
      <c r="N11" s="7"/>
      <c r="O11" s="8" t="str">
        <f aca="false">IF(AND(L11="",N11=""),"",N(L11)+N(N11))</f>
        <v/>
      </c>
      <c r="P11" s="8" t="str">
        <f aca="false">IF(OR(I11="",O11=""),"",I11-O11)</f>
        <v/>
      </c>
      <c r="Q11" s="9" t="str">
        <f aca="false">IF(P11="","",IF(P11&lt;0,"EXPOSED — act now",IF(P11&lt;Settings!$B$2,"AMBER — plan migration","GREEN")))</f>
        <v/>
      </c>
      <c r="R11" s="6"/>
      <c r="S11" s="6"/>
      <c r="T11" s="6"/>
      <c r="U11" s="6"/>
      <c r="V11" s="10"/>
      <c r="W11" s="11" t="str">
        <f aca="false">IF(V11="","",EDATE(V11,Settings!$B$3))</f>
        <v/>
      </c>
      <c r="X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7"/>
      <c r="J12" s="7"/>
      <c r="K12" s="6"/>
      <c r="L12" s="7"/>
      <c r="M12" s="6"/>
      <c r="N12" s="7"/>
      <c r="O12" s="8" t="str">
        <f aca="false">IF(AND(L12="",N12=""),"",N(L12)+N(N12))</f>
        <v/>
      </c>
      <c r="P12" s="8" t="str">
        <f aca="false">IF(OR(I12="",O12=""),"",I12-O12)</f>
        <v/>
      </c>
      <c r="Q12" s="9" t="str">
        <f aca="false">IF(P12="","",IF(P12&lt;0,"EXPOSED — act now",IF(P12&lt;Settings!$B$2,"AMBER — plan migration","GREEN")))</f>
        <v/>
      </c>
      <c r="R12" s="6"/>
      <c r="S12" s="6"/>
      <c r="T12" s="6"/>
      <c r="U12" s="6"/>
      <c r="V12" s="10"/>
      <c r="W12" s="11" t="str">
        <f aca="false">IF(V12="","",EDATE(V12,Settings!$B$3))</f>
        <v/>
      </c>
      <c r="X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7"/>
      <c r="J13" s="7"/>
      <c r="K13" s="6"/>
      <c r="L13" s="7"/>
      <c r="M13" s="6"/>
      <c r="N13" s="7"/>
      <c r="O13" s="8" t="str">
        <f aca="false">IF(AND(L13="",N13=""),"",N(L13)+N(N13))</f>
        <v/>
      </c>
      <c r="P13" s="8" t="str">
        <f aca="false">IF(OR(I13="",O13=""),"",I13-O13)</f>
        <v/>
      </c>
      <c r="Q13" s="9" t="str">
        <f aca="false">IF(P13="","",IF(P13&lt;0,"EXPOSED — act now",IF(P13&lt;Settings!$B$2,"AMBER — plan migration","GREEN")))</f>
        <v/>
      </c>
      <c r="R13" s="6"/>
      <c r="S13" s="6"/>
      <c r="T13" s="6"/>
      <c r="U13" s="6"/>
      <c r="V13" s="10"/>
      <c r="W13" s="11" t="str">
        <f aca="false">IF(V13="","",EDATE(V13,Settings!$B$3))</f>
        <v/>
      </c>
      <c r="X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7"/>
      <c r="J14" s="7"/>
      <c r="K14" s="6"/>
      <c r="L14" s="7"/>
      <c r="M14" s="6"/>
      <c r="N14" s="7"/>
      <c r="O14" s="8" t="str">
        <f aca="false">IF(AND(L14="",N14=""),"",N(L14)+N(N14))</f>
        <v/>
      </c>
      <c r="P14" s="8" t="str">
        <f aca="false">IF(OR(I14="",O14=""),"",I14-O14)</f>
        <v/>
      </c>
      <c r="Q14" s="9" t="str">
        <f aca="false">IF(P14="","",IF(P14&lt;0,"EXPOSED — act now",IF(P14&lt;Settings!$B$2,"AMBER — plan migration","GREEN")))</f>
        <v/>
      </c>
      <c r="R14" s="6"/>
      <c r="S14" s="6"/>
      <c r="T14" s="6"/>
      <c r="U14" s="6"/>
      <c r="V14" s="10"/>
      <c r="W14" s="11" t="str">
        <f aca="false">IF(V14="","",EDATE(V14,Settings!$B$3))</f>
        <v/>
      </c>
      <c r="X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7"/>
      <c r="J15" s="7"/>
      <c r="K15" s="6"/>
      <c r="L15" s="7"/>
      <c r="M15" s="6"/>
      <c r="N15" s="7"/>
      <c r="O15" s="8" t="str">
        <f aca="false">IF(AND(L15="",N15=""),"",N(L15)+N(N15))</f>
        <v/>
      </c>
      <c r="P15" s="8" t="str">
        <f aca="false">IF(OR(I15="",O15=""),"",I15-O15)</f>
        <v/>
      </c>
      <c r="Q15" s="9" t="str">
        <f aca="false">IF(P15="","",IF(P15&lt;0,"EXPOSED — act now",IF(P15&lt;Settings!$B$2,"AMBER — plan migration","GREEN")))</f>
        <v/>
      </c>
      <c r="R15" s="6"/>
      <c r="S15" s="6"/>
      <c r="T15" s="6"/>
      <c r="U15" s="6"/>
      <c r="V15" s="10"/>
      <c r="W15" s="11" t="str">
        <f aca="false">IF(V15="","",EDATE(V15,Settings!$B$3))</f>
        <v/>
      </c>
      <c r="X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7"/>
      <c r="J16" s="7"/>
      <c r="K16" s="6"/>
      <c r="L16" s="7"/>
      <c r="M16" s="6"/>
      <c r="N16" s="7"/>
      <c r="O16" s="8" t="str">
        <f aca="false">IF(AND(L16="",N16=""),"",N(L16)+N(N16))</f>
        <v/>
      </c>
      <c r="P16" s="8" t="str">
        <f aca="false">IF(OR(I16="",O16=""),"",I16-O16)</f>
        <v/>
      </c>
      <c r="Q16" s="9" t="str">
        <f aca="false">IF(P16="","",IF(P16&lt;0,"EXPOSED — act now",IF(P16&lt;Settings!$B$2,"AMBER — plan migration","GREEN")))</f>
        <v/>
      </c>
      <c r="R16" s="6"/>
      <c r="S16" s="6"/>
      <c r="T16" s="6"/>
      <c r="U16" s="6"/>
      <c r="V16" s="10"/>
      <c r="W16" s="11" t="str">
        <f aca="false">IF(V16="","",EDATE(V16,Settings!$B$3))</f>
        <v/>
      </c>
      <c r="X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7"/>
      <c r="J17" s="7"/>
      <c r="K17" s="6"/>
      <c r="L17" s="7"/>
      <c r="M17" s="6"/>
      <c r="N17" s="7"/>
      <c r="O17" s="8" t="str">
        <f aca="false">IF(AND(L17="",N17=""),"",N(L17)+N(N17))</f>
        <v/>
      </c>
      <c r="P17" s="8" t="str">
        <f aca="false">IF(OR(I17="",O17=""),"",I17-O17)</f>
        <v/>
      </c>
      <c r="Q17" s="9" t="str">
        <f aca="false">IF(P17="","",IF(P17&lt;0,"EXPOSED — act now",IF(P17&lt;Settings!$B$2,"AMBER — plan migration","GREEN")))</f>
        <v/>
      </c>
      <c r="R17" s="6"/>
      <c r="S17" s="6"/>
      <c r="T17" s="6"/>
      <c r="U17" s="6"/>
      <c r="V17" s="10"/>
      <c r="W17" s="11" t="str">
        <f aca="false">IF(V17="","",EDATE(V17,Settings!$B$3))</f>
        <v/>
      </c>
      <c r="X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7"/>
      <c r="J18" s="7"/>
      <c r="K18" s="6"/>
      <c r="L18" s="7"/>
      <c r="M18" s="6"/>
      <c r="N18" s="7"/>
      <c r="O18" s="8" t="str">
        <f aca="false">IF(AND(L18="",N18=""),"",N(L18)+N(N18))</f>
        <v/>
      </c>
      <c r="P18" s="8" t="str">
        <f aca="false">IF(OR(I18="",O18=""),"",I18-O18)</f>
        <v/>
      </c>
      <c r="Q18" s="9" t="str">
        <f aca="false">IF(P18="","",IF(P18&lt;0,"EXPOSED — act now",IF(P18&lt;Settings!$B$2,"AMBER — plan migration","GREEN")))</f>
        <v/>
      </c>
      <c r="R18" s="6"/>
      <c r="S18" s="6"/>
      <c r="T18" s="6"/>
      <c r="U18" s="6"/>
      <c r="V18" s="10"/>
      <c r="W18" s="11" t="str">
        <f aca="false">IF(V18="","",EDATE(V18,Settings!$B$3))</f>
        <v/>
      </c>
      <c r="X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7"/>
      <c r="J19" s="7"/>
      <c r="K19" s="6"/>
      <c r="L19" s="7"/>
      <c r="M19" s="6"/>
      <c r="N19" s="7"/>
      <c r="O19" s="8" t="str">
        <f aca="false">IF(AND(L19="",N19=""),"",N(L19)+N(N19))</f>
        <v/>
      </c>
      <c r="P19" s="8" t="str">
        <f aca="false">IF(OR(I19="",O19=""),"",I19-O19)</f>
        <v/>
      </c>
      <c r="Q19" s="9" t="str">
        <f aca="false">IF(P19="","",IF(P19&lt;0,"EXPOSED — act now",IF(P19&lt;Settings!$B$2,"AMBER — plan migration","GREEN")))</f>
        <v/>
      </c>
      <c r="R19" s="6"/>
      <c r="S19" s="6"/>
      <c r="T19" s="6"/>
      <c r="U19" s="6"/>
      <c r="V19" s="10"/>
      <c r="W19" s="11" t="str">
        <f aca="false">IF(V19="","",EDATE(V19,Settings!$B$3))</f>
        <v/>
      </c>
      <c r="X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7"/>
      <c r="J20" s="7"/>
      <c r="K20" s="6"/>
      <c r="L20" s="7"/>
      <c r="M20" s="6"/>
      <c r="N20" s="7"/>
      <c r="O20" s="8" t="str">
        <f aca="false">IF(AND(L20="",N20=""),"",N(L20)+N(N20))</f>
        <v/>
      </c>
      <c r="P20" s="8" t="str">
        <f aca="false">IF(OR(I20="",O20=""),"",I20-O20)</f>
        <v/>
      </c>
      <c r="Q20" s="9" t="str">
        <f aca="false">IF(P20="","",IF(P20&lt;0,"EXPOSED — act now",IF(P20&lt;Settings!$B$2,"AMBER — plan migration","GREEN")))</f>
        <v/>
      </c>
      <c r="R20" s="6"/>
      <c r="S20" s="6"/>
      <c r="T20" s="6"/>
      <c r="U20" s="6"/>
      <c r="V20" s="10"/>
      <c r="W20" s="11" t="str">
        <f aca="false">IF(V20="","",EDATE(V20,Settings!$B$3))</f>
        <v/>
      </c>
      <c r="X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7"/>
      <c r="J21" s="7"/>
      <c r="K21" s="6"/>
      <c r="L21" s="7"/>
      <c r="M21" s="6"/>
      <c r="N21" s="7"/>
      <c r="O21" s="8" t="str">
        <f aca="false">IF(AND(L21="",N21=""),"",N(L21)+N(N21))</f>
        <v/>
      </c>
      <c r="P21" s="8" t="str">
        <f aca="false">IF(OR(I21="",O21=""),"",I21-O21)</f>
        <v/>
      </c>
      <c r="Q21" s="9" t="str">
        <f aca="false">IF(P21="","",IF(P21&lt;0,"EXPOSED — act now",IF(P21&lt;Settings!$B$2,"AMBER — plan migration","GREEN")))</f>
        <v/>
      </c>
      <c r="R21" s="6"/>
      <c r="S21" s="6"/>
      <c r="T21" s="6"/>
      <c r="U21" s="6"/>
      <c r="V21" s="10"/>
      <c r="W21" s="11" t="str">
        <f aca="false">IF(V21="","",EDATE(V21,Settings!$B$3))</f>
        <v/>
      </c>
      <c r="X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7"/>
      <c r="J22" s="7"/>
      <c r="K22" s="6"/>
      <c r="L22" s="7"/>
      <c r="M22" s="6"/>
      <c r="N22" s="7"/>
      <c r="O22" s="8" t="str">
        <f aca="false">IF(AND(L22="",N22=""),"",N(L22)+N(N22))</f>
        <v/>
      </c>
      <c r="P22" s="8" t="str">
        <f aca="false">IF(OR(I22="",O22=""),"",I22-O22)</f>
        <v/>
      </c>
      <c r="Q22" s="9" t="str">
        <f aca="false">IF(P22="","",IF(P22&lt;0,"EXPOSED — act now",IF(P22&lt;Settings!$B$2,"AMBER — plan migration","GREEN")))</f>
        <v/>
      </c>
      <c r="R22" s="6"/>
      <c r="S22" s="6"/>
      <c r="T22" s="6"/>
      <c r="U22" s="6"/>
      <c r="V22" s="10"/>
      <c r="W22" s="11" t="str">
        <f aca="false">IF(V22="","",EDATE(V22,Settings!$B$3))</f>
        <v/>
      </c>
      <c r="X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7"/>
      <c r="J23" s="7"/>
      <c r="K23" s="6"/>
      <c r="L23" s="7"/>
      <c r="M23" s="6"/>
      <c r="N23" s="7"/>
      <c r="O23" s="8" t="str">
        <f aca="false">IF(AND(L23="",N23=""),"",N(L23)+N(N23))</f>
        <v/>
      </c>
      <c r="P23" s="8" t="str">
        <f aca="false">IF(OR(I23="",O23=""),"",I23-O23)</f>
        <v/>
      </c>
      <c r="Q23" s="9" t="str">
        <f aca="false">IF(P23="","",IF(P23&lt;0,"EXPOSED — act now",IF(P23&lt;Settings!$B$2,"AMBER — plan migration","GREEN")))</f>
        <v/>
      </c>
      <c r="R23" s="6"/>
      <c r="S23" s="6"/>
      <c r="T23" s="6"/>
      <c r="U23" s="6"/>
      <c r="V23" s="10"/>
      <c r="W23" s="11" t="str">
        <f aca="false">IF(V23="","",EDATE(V23,Settings!$B$3))</f>
        <v/>
      </c>
      <c r="X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7"/>
      <c r="J24" s="7"/>
      <c r="K24" s="6"/>
      <c r="L24" s="7"/>
      <c r="M24" s="6"/>
      <c r="N24" s="7"/>
      <c r="O24" s="8" t="str">
        <f aca="false">IF(AND(L24="",N24=""),"",N(L24)+N(N24))</f>
        <v/>
      </c>
      <c r="P24" s="8" t="str">
        <f aca="false">IF(OR(I24="",O24=""),"",I24-O24)</f>
        <v/>
      </c>
      <c r="Q24" s="9" t="str">
        <f aca="false">IF(P24="","",IF(P24&lt;0,"EXPOSED — act now",IF(P24&lt;Settings!$B$2,"AMBER — plan migration","GREEN")))</f>
        <v/>
      </c>
      <c r="R24" s="6"/>
      <c r="S24" s="6"/>
      <c r="T24" s="6"/>
      <c r="U24" s="6"/>
      <c r="V24" s="10"/>
      <c r="W24" s="11" t="str">
        <f aca="false">IF(V24="","",EDATE(V24,Settings!$B$3))</f>
        <v/>
      </c>
      <c r="X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7"/>
      <c r="J25" s="7"/>
      <c r="K25" s="6"/>
      <c r="L25" s="7"/>
      <c r="M25" s="6"/>
      <c r="N25" s="7"/>
      <c r="O25" s="8" t="str">
        <f aca="false">IF(AND(L25="",N25=""),"",N(L25)+N(N25))</f>
        <v/>
      </c>
      <c r="P25" s="8" t="str">
        <f aca="false">IF(OR(I25="",O25=""),"",I25-O25)</f>
        <v/>
      </c>
      <c r="Q25" s="9" t="str">
        <f aca="false">IF(P25="","",IF(P25&lt;0,"EXPOSED — act now",IF(P25&lt;Settings!$B$2,"AMBER — plan migration","GREEN")))</f>
        <v/>
      </c>
      <c r="R25" s="6"/>
      <c r="S25" s="6"/>
      <c r="T25" s="6"/>
      <c r="U25" s="6"/>
      <c r="V25" s="10"/>
      <c r="W25" s="11" t="str">
        <f aca="false">IF(V25="","",EDATE(V25,Settings!$B$3))</f>
        <v/>
      </c>
      <c r="X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7"/>
      <c r="J26" s="7"/>
      <c r="K26" s="6"/>
      <c r="L26" s="7"/>
      <c r="M26" s="6"/>
      <c r="N26" s="7"/>
      <c r="O26" s="8" t="str">
        <f aca="false">IF(AND(L26="",N26=""),"",N(L26)+N(N26))</f>
        <v/>
      </c>
      <c r="P26" s="8" t="str">
        <f aca="false">IF(OR(I26="",O26=""),"",I26-O26)</f>
        <v/>
      </c>
      <c r="Q26" s="9" t="str">
        <f aca="false">IF(P26="","",IF(P26&lt;0,"EXPOSED — act now",IF(P26&lt;Settings!$B$2,"AMBER — plan migration","GREEN")))</f>
        <v/>
      </c>
      <c r="R26" s="6"/>
      <c r="S26" s="6"/>
      <c r="T26" s="6"/>
      <c r="U26" s="6"/>
      <c r="V26" s="10"/>
      <c r="W26" s="11" t="str">
        <f aca="false">IF(V26="","",EDATE(V26,Settings!$B$3))</f>
        <v/>
      </c>
      <c r="X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7"/>
      <c r="J27" s="7"/>
      <c r="K27" s="6"/>
      <c r="L27" s="7"/>
      <c r="M27" s="6"/>
      <c r="N27" s="7"/>
      <c r="O27" s="8" t="str">
        <f aca="false">IF(AND(L27="",N27=""),"",N(L27)+N(N27))</f>
        <v/>
      </c>
      <c r="P27" s="8" t="str">
        <f aca="false">IF(OR(I27="",O27=""),"",I27-O27)</f>
        <v/>
      </c>
      <c r="Q27" s="9" t="str">
        <f aca="false">IF(P27="","",IF(P27&lt;0,"EXPOSED — act now",IF(P27&lt;Settings!$B$2,"AMBER — plan migration","GREEN")))</f>
        <v/>
      </c>
      <c r="R27" s="6"/>
      <c r="S27" s="6"/>
      <c r="T27" s="6"/>
      <c r="U27" s="6"/>
      <c r="V27" s="10"/>
      <c r="W27" s="11" t="str">
        <f aca="false">IF(V27="","",EDATE(V27,Settings!$B$3))</f>
        <v/>
      </c>
      <c r="X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7"/>
      <c r="J28" s="7"/>
      <c r="K28" s="6"/>
      <c r="L28" s="7"/>
      <c r="M28" s="6"/>
      <c r="N28" s="7"/>
      <c r="O28" s="8" t="str">
        <f aca="false">IF(AND(L28="",N28=""),"",N(L28)+N(N28))</f>
        <v/>
      </c>
      <c r="P28" s="8" t="str">
        <f aca="false">IF(OR(I28="",O28=""),"",I28-O28)</f>
        <v/>
      </c>
      <c r="Q28" s="9" t="str">
        <f aca="false">IF(P28="","",IF(P28&lt;0,"EXPOSED — act now",IF(P28&lt;Settings!$B$2,"AMBER — plan migration","GREEN")))</f>
        <v/>
      </c>
      <c r="R28" s="6"/>
      <c r="S28" s="6"/>
      <c r="T28" s="6"/>
      <c r="U28" s="6"/>
      <c r="V28" s="10"/>
      <c r="W28" s="11" t="str">
        <f aca="false">IF(V28="","",EDATE(V28,Settings!$B$3))</f>
        <v/>
      </c>
      <c r="X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7"/>
      <c r="J29" s="7"/>
      <c r="K29" s="6"/>
      <c r="L29" s="7"/>
      <c r="M29" s="6"/>
      <c r="N29" s="7"/>
      <c r="O29" s="8" t="str">
        <f aca="false">IF(AND(L29="",N29=""),"",N(L29)+N(N29))</f>
        <v/>
      </c>
      <c r="P29" s="8" t="str">
        <f aca="false">IF(OR(I29="",O29=""),"",I29-O29)</f>
        <v/>
      </c>
      <c r="Q29" s="9" t="str">
        <f aca="false">IF(P29="","",IF(P29&lt;0,"EXPOSED — act now",IF(P29&lt;Settings!$B$2,"AMBER — plan migration","GREEN")))</f>
        <v/>
      </c>
      <c r="R29" s="6"/>
      <c r="S29" s="6"/>
      <c r="T29" s="6"/>
      <c r="U29" s="6"/>
      <c r="V29" s="10"/>
      <c r="W29" s="11" t="str">
        <f aca="false">IF(V29="","",EDATE(V29,Settings!$B$3))</f>
        <v/>
      </c>
      <c r="X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7"/>
      <c r="J30" s="7"/>
      <c r="K30" s="6"/>
      <c r="L30" s="7"/>
      <c r="M30" s="6"/>
      <c r="N30" s="7"/>
      <c r="O30" s="8" t="str">
        <f aca="false">IF(AND(L30="",N30=""),"",N(L30)+N(N30))</f>
        <v/>
      </c>
      <c r="P30" s="8" t="str">
        <f aca="false">IF(OR(I30="",O30=""),"",I30-O30)</f>
        <v/>
      </c>
      <c r="Q30" s="9" t="str">
        <f aca="false">IF(P30="","",IF(P30&lt;0,"EXPOSED — act now",IF(P30&lt;Settings!$B$2,"AMBER — plan migration","GREEN")))</f>
        <v/>
      </c>
      <c r="R30" s="6"/>
      <c r="S30" s="6"/>
      <c r="T30" s="6"/>
      <c r="U30" s="6"/>
      <c r="V30" s="10"/>
      <c r="W30" s="11" t="str">
        <f aca="false">IF(V30="","",EDATE(V30,Settings!$B$3))</f>
        <v/>
      </c>
      <c r="X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7"/>
      <c r="J31" s="7"/>
      <c r="K31" s="6"/>
      <c r="L31" s="7"/>
      <c r="M31" s="6"/>
      <c r="N31" s="7"/>
      <c r="O31" s="8" t="str">
        <f aca="false">IF(AND(L31="",N31=""),"",N(L31)+N(N31))</f>
        <v/>
      </c>
      <c r="P31" s="8" t="str">
        <f aca="false">IF(OR(I31="",O31=""),"",I31-O31)</f>
        <v/>
      </c>
      <c r="Q31" s="9" t="str">
        <f aca="false">IF(P31="","",IF(P31&lt;0,"EXPOSED — act now",IF(P31&lt;Settings!$B$2,"AMBER — plan migration","GREEN")))</f>
        <v/>
      </c>
      <c r="R31" s="6"/>
      <c r="S31" s="6"/>
      <c r="T31" s="6"/>
      <c r="U31" s="6"/>
      <c r="V31" s="10"/>
      <c r="W31" s="11" t="str">
        <f aca="false">IF(V31="","",EDATE(V31,Settings!$B$3))</f>
        <v/>
      </c>
      <c r="X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7"/>
      <c r="J32" s="7"/>
      <c r="K32" s="6"/>
      <c r="L32" s="7"/>
      <c r="M32" s="6"/>
      <c r="N32" s="7"/>
      <c r="O32" s="8" t="str">
        <f aca="false">IF(AND(L32="",N32=""),"",N(L32)+N(N32))</f>
        <v/>
      </c>
      <c r="P32" s="8" t="str">
        <f aca="false">IF(OR(I32="",O32=""),"",I32-O32)</f>
        <v/>
      </c>
      <c r="Q32" s="9" t="str">
        <f aca="false">IF(P32="","",IF(P32&lt;0,"EXPOSED — act now",IF(P32&lt;Settings!$B$2,"AMBER — plan migration","GREEN")))</f>
        <v/>
      </c>
      <c r="R32" s="6"/>
      <c r="S32" s="6"/>
      <c r="T32" s="6"/>
      <c r="U32" s="6"/>
      <c r="V32" s="10"/>
      <c r="W32" s="11" t="str">
        <f aca="false">IF(V32="","",EDATE(V32,Settings!$B$3))</f>
        <v/>
      </c>
      <c r="X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7"/>
      <c r="J33" s="7"/>
      <c r="K33" s="6"/>
      <c r="L33" s="7"/>
      <c r="M33" s="6"/>
      <c r="N33" s="7"/>
      <c r="O33" s="8" t="str">
        <f aca="false">IF(AND(L33="",N33=""),"",N(L33)+N(N33))</f>
        <v/>
      </c>
      <c r="P33" s="8" t="str">
        <f aca="false">IF(OR(I33="",O33=""),"",I33-O33)</f>
        <v/>
      </c>
      <c r="Q33" s="9" t="str">
        <f aca="false">IF(P33="","",IF(P33&lt;0,"EXPOSED — act now",IF(P33&lt;Settings!$B$2,"AMBER — plan migration","GREEN")))</f>
        <v/>
      </c>
      <c r="R33" s="6"/>
      <c r="S33" s="6"/>
      <c r="T33" s="6"/>
      <c r="U33" s="6"/>
      <c r="V33" s="10"/>
      <c r="W33" s="11" t="str">
        <f aca="false">IF(V33="","",EDATE(V33,Settings!$B$3))</f>
        <v/>
      </c>
      <c r="X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7"/>
      <c r="J34" s="7"/>
      <c r="K34" s="6"/>
      <c r="L34" s="7"/>
      <c r="M34" s="6"/>
      <c r="N34" s="7"/>
      <c r="O34" s="8" t="str">
        <f aca="false">IF(AND(L34="",N34=""),"",N(L34)+N(N34))</f>
        <v/>
      </c>
      <c r="P34" s="8" t="str">
        <f aca="false">IF(OR(I34="",O34=""),"",I34-O34)</f>
        <v/>
      </c>
      <c r="Q34" s="9" t="str">
        <f aca="false">IF(P34="","",IF(P34&lt;0,"EXPOSED — act now",IF(P34&lt;Settings!$B$2,"AMBER — plan migration","GREEN")))</f>
        <v/>
      </c>
      <c r="R34" s="6"/>
      <c r="S34" s="6"/>
      <c r="T34" s="6"/>
      <c r="U34" s="6"/>
      <c r="V34" s="10"/>
      <c r="W34" s="11" t="str">
        <f aca="false">IF(V34="","",EDATE(V34,Settings!$B$3))</f>
        <v/>
      </c>
      <c r="X34" s="6"/>
    </row>
  </sheetData>
  <autoFilter ref="A1:X34"/>
  <conditionalFormatting sqref="Q2:Q34">
    <cfRule type="expression" priority="2" aboveAverage="0" equalAverage="0" bottom="0" percent="0" rank="0" text="" dxfId="11">
      <formula>LEFT(Q2,7)="EXPOSED"</formula>
    </cfRule>
    <cfRule type="expression" priority="3" aboveAverage="0" equalAverage="0" bottom="0" percent="0" rank="0" text="" dxfId="12">
      <formula>LEFT(Q2,5)="AMBER"</formula>
    </cfRule>
    <cfRule type="expression" priority="4" aboveAverage="0" equalAverage="0" bottom="0" percent="0" rank="0" text="" dxfId="13">
      <formula>Q2="GREEN"</formula>
    </cfRule>
  </conditionalFormatting>
  <conditionalFormatting sqref="P2:P34">
    <cfRule type="expression" priority="5" aboveAverage="0" equalAverage="0" bottom="0" percent="0" rank="0" text="" dxfId="14">
      <formula>AND(ISNUMBER(P2),P2&lt;0)</formula>
    </cfRule>
  </conditionalFormatting>
  <dataValidations count="6">
    <dataValidation allowBlank="true" errorStyle="stop" operator="between" showDropDown="false" showErrorMessage="false" showInputMessage="false" sqref="F2:F34" type="list">
      <formula1>Settings!$E$2:$E$6</formula1>
      <formula2>0</formula2>
    </dataValidation>
    <dataValidation allowBlank="true" errorStyle="stop" operator="between" showDropDown="false" showErrorMessage="false" showInputMessage="false" sqref="G2:G34" type="list">
      <formula1>Settings!$F$2:$F$4</formula1>
      <formula2>0</formula2>
    </dataValidation>
    <dataValidation allowBlank="true" errorStyle="stop" operator="between" showDropDown="false" showErrorMessage="false" showInputMessage="false" sqref="H2:H34" type="list">
      <formula1>Settings!$G$2:$G$4</formula1>
      <formula2>0</formula2>
    </dataValidation>
    <dataValidation allowBlank="true" errorStyle="stop" operator="between" showDropDown="false" showErrorMessage="false" showInputMessage="false" sqref="K2:K34" type="list">
      <formula1>Settings!$H$2:$H$4</formula1>
      <formula2>0</formula2>
    </dataValidation>
    <dataValidation allowBlank="true" errorStyle="stop" operator="between" showDropDown="false" showErrorMessage="false" showInputMessage="false" sqref="S2:S34" type="list">
      <formula1>Settings!$I$2:$I$3</formula1>
      <formula2>0</formula2>
    </dataValidation>
    <dataValidation allowBlank="true" errorStyle="stop" operator="between" showDropDown="false" showErrorMessage="false" showInputMessage="false" sqref="U2:U34" type="list">
      <formula1>Settings!$J$2:$J$4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62"/>
    <col collapsed="false" customWidth="true" hidden="false" outlineLevel="0" max="10" min="5" style="0" width="20"/>
  </cols>
  <sheetData>
    <row r="1" customFormat="false" ht="15" hidden="false" customHeight="false" outlineLevel="0" collapsed="false">
      <c r="A1" s="12" t="s">
        <v>89</v>
      </c>
      <c r="B1" s="12" t="s">
        <v>90</v>
      </c>
      <c r="C1" s="12" t="s">
        <v>91</v>
      </c>
      <c r="E1" s="12" t="s">
        <v>92</v>
      </c>
      <c r="F1" s="12" t="s">
        <v>35</v>
      </c>
      <c r="G1" s="12" t="s">
        <v>36</v>
      </c>
      <c r="H1" s="12" t="s">
        <v>39</v>
      </c>
      <c r="I1" s="12" t="s">
        <v>93</v>
      </c>
      <c r="J1" s="12" t="s">
        <v>94</v>
      </c>
    </row>
    <row r="2" customFormat="false" ht="15" hidden="false" customHeight="false" outlineLevel="0" collapsed="false">
      <c r="A2" s="13" t="s">
        <v>95</v>
      </c>
      <c r="B2" s="14" t="n">
        <v>1</v>
      </c>
      <c r="C2" s="13" t="s">
        <v>96</v>
      </c>
      <c r="E2" s="13" t="s">
        <v>97</v>
      </c>
      <c r="F2" s="13" t="s">
        <v>59</v>
      </c>
      <c r="G2" s="13" t="s">
        <v>60</v>
      </c>
      <c r="H2" s="13" t="s">
        <v>73</v>
      </c>
      <c r="I2" s="13" t="s">
        <v>86</v>
      </c>
      <c r="J2" s="13" t="s">
        <v>73</v>
      </c>
    </row>
    <row r="3" customFormat="false" ht="15" hidden="false" customHeight="false" outlineLevel="0" collapsed="false">
      <c r="A3" s="13" t="s">
        <v>98</v>
      </c>
      <c r="B3" s="14" t="n">
        <v>6</v>
      </c>
      <c r="C3" s="13" t="s">
        <v>99</v>
      </c>
      <c r="E3" s="13" t="s">
        <v>100</v>
      </c>
      <c r="F3" s="13" t="s">
        <v>83</v>
      </c>
      <c r="G3" s="13" t="s">
        <v>101</v>
      </c>
      <c r="H3" s="13" t="s">
        <v>61</v>
      </c>
      <c r="I3" s="13" t="s">
        <v>64</v>
      </c>
      <c r="J3" s="13" t="s">
        <v>61</v>
      </c>
    </row>
    <row r="4" customFormat="false" ht="15" hidden="false" customHeight="false" outlineLevel="0" collapsed="false">
      <c r="E4" s="13" t="s">
        <v>58</v>
      </c>
      <c r="F4" s="13" t="s">
        <v>72</v>
      </c>
      <c r="G4" s="13" t="s">
        <v>102</v>
      </c>
      <c r="H4" s="13" t="s">
        <v>103</v>
      </c>
      <c r="J4" s="13" t="s">
        <v>103</v>
      </c>
    </row>
    <row r="5" customFormat="false" ht="15" hidden="false" customHeight="false" outlineLevel="0" collapsed="false">
      <c r="E5" s="13" t="s">
        <v>82</v>
      </c>
    </row>
    <row r="6" customFormat="false" ht="15" hidden="false" customHeight="false" outlineLevel="0" collapsed="false">
      <c r="E6" s="13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2026-10-10T12:51:24Z</dcterms:created>
  <dc:creator>openpyxl</dc:creator>
  <dc:description/>
  <dc:language>en-US</dc:language>
  <cp:lastModifiedBy/>
  <dcterms:modified xsi:type="dcterms:W3CDTF">2026-10-10T12:51:24Z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